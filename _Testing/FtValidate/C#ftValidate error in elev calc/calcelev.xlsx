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360" yWindow="12" windowWidth="11340" windowHeight="6540"/>
  </bookViews>
  <sheets>
    <sheet name="c++" sheetId="1" r:id="rId1"/>
    <sheet name="c#" sheetId="2" r:id="rId2"/>
  </sheets>
  <calcPr calcId="125725"/>
</workbook>
</file>

<file path=xl/calcChain.xml><?xml version="1.0" encoding="utf-8"?>
<calcChain xmlns="http://schemas.openxmlformats.org/spreadsheetml/2006/main">
  <c r="J37" i="2"/>
  <c r="I37"/>
  <c r="C37"/>
  <c r="D37" s="1"/>
  <c r="K37" s="1"/>
  <c r="J33"/>
  <c r="I33"/>
  <c r="C33"/>
  <c r="D33" s="1"/>
  <c r="K33" s="1"/>
  <c r="J28"/>
  <c r="I28"/>
  <c r="C28"/>
  <c r="D28" s="1"/>
  <c r="K28" s="1"/>
  <c r="K24"/>
  <c r="L24" s="1"/>
  <c r="J24"/>
  <c r="I24"/>
  <c r="D24"/>
  <c r="C24"/>
  <c r="J20"/>
  <c r="K20" s="1"/>
  <c r="I20"/>
  <c r="D20"/>
  <c r="C20"/>
  <c r="J16"/>
  <c r="K16" s="1"/>
  <c r="I16"/>
  <c r="D16"/>
  <c r="C16"/>
  <c r="J12"/>
  <c r="K12" s="1"/>
  <c r="I12"/>
  <c r="D12"/>
  <c r="C12"/>
  <c r="J8"/>
  <c r="I8"/>
  <c r="K8" s="1"/>
  <c r="C8"/>
  <c r="D8" s="1"/>
  <c r="J38" i="1"/>
  <c r="I38"/>
  <c r="D38"/>
  <c r="C38"/>
  <c r="K34"/>
  <c r="L34" s="1"/>
  <c r="J34"/>
  <c r="I34"/>
  <c r="D34"/>
  <c r="C34"/>
  <c r="C25"/>
  <c r="D25" s="1"/>
  <c r="J21"/>
  <c r="K21" s="1"/>
  <c r="M21" s="1"/>
  <c r="I21"/>
  <c r="D21"/>
  <c r="C21"/>
  <c r="J13"/>
  <c r="K13" s="1"/>
  <c r="I13"/>
  <c r="C17"/>
  <c r="D17" s="1"/>
  <c r="D13"/>
  <c r="C13"/>
  <c r="J29"/>
  <c r="I29"/>
  <c r="C29"/>
  <c r="D29" s="1"/>
  <c r="I25"/>
  <c r="J17"/>
  <c r="I17"/>
  <c r="J25"/>
  <c r="C9"/>
  <c r="D9" s="1"/>
  <c r="I9"/>
  <c r="J9"/>
  <c r="L16" i="2" l="1"/>
  <c r="M16"/>
  <c r="L8"/>
  <c r="M8"/>
  <c r="M28"/>
  <c r="L28"/>
  <c r="M33"/>
  <c r="L33"/>
  <c r="L12"/>
  <c r="M12"/>
  <c r="L37"/>
  <c r="M37"/>
  <c r="L20"/>
  <c r="M20"/>
  <c r="M24"/>
  <c r="K38" i="1"/>
  <c r="M38" s="1"/>
  <c r="M34"/>
  <c r="K29"/>
  <c r="M29" s="1"/>
  <c r="K25"/>
  <c r="L25" s="1"/>
  <c r="L21"/>
  <c r="K17"/>
  <c r="L17" s="1"/>
  <c r="L13"/>
  <c r="M13"/>
  <c r="K9"/>
  <c r="M9" s="1"/>
  <c r="L38" l="1"/>
  <c r="L29"/>
  <c r="M25"/>
  <c r="M17"/>
  <c r="L9"/>
</calcChain>
</file>

<file path=xl/sharedStrings.xml><?xml version="1.0" encoding="utf-8"?>
<sst xmlns="http://schemas.openxmlformats.org/spreadsheetml/2006/main" count="200" uniqueCount="67">
  <si>
    <t>Calculation of Antenna Elevation Angle</t>
  </si>
  <si>
    <t>D0</t>
  </si>
  <si>
    <t>Dist (km)</t>
  </si>
  <si>
    <t>A1</t>
  </si>
  <si>
    <t>Alt. Site1</t>
  </si>
  <si>
    <t xml:space="preserve">Alt. Site2 </t>
  </si>
  <si>
    <t>Hant1 (km)</t>
  </si>
  <si>
    <t>H1</t>
  </si>
  <si>
    <t>H2</t>
  </si>
  <si>
    <t>A2</t>
  </si>
  <si>
    <t>E12 (deg)</t>
  </si>
  <si>
    <t>E21 (deg)</t>
  </si>
  <si>
    <t>Hant2 (km)</t>
  </si>
  <si>
    <t>WQAK38901</t>
  </si>
  <si>
    <t>WQAK3903</t>
  </si>
  <si>
    <t>ANUMB6</t>
  </si>
  <si>
    <t>ANUMB2</t>
  </si>
  <si>
    <t>ANUMB1</t>
  </si>
  <si>
    <t>*</t>
  </si>
  <si>
    <t>*##############################################################################</t>
  </si>
  <si>
    <t>SK,N,U,WQAK38901,MISSOULA MIL,46-52-09.50N,113-59-42.80W,972.9,2019.01.28,18:04</t>
  </si>
  <si>
    <t>SD,MT,B25340,5, , , , , , ,U18B, ,UT</t>
  </si>
  <si>
    <t>*====  WSI-MSO-HQ  ====== Ant Gain = 40.2, Dist Loss = 43.36, At. Loss = 0.69</t>
  </si>
  <si>
    <t>AQ,TX,HP2-23,25.9,304.02,-0.27,3.51,N, , , , , , ,</t>
  </si>
  <si>
    <t>AO, , , , , , , , , , , , , ,U18B,</t>
  </si>
  <si>
    <t>*----  WSI-MSO-HQ  ====== Ant Gain = 40.5, Dist Loss = 43.36, At. Loss = 0.69</t>
  </si>
  <si>
    <t>AK,D,U,WQAK38901,WQAK38903,22A,6,2019.01.28,18:04</t>
  </si>
  <si>
    <t>AQ,TX,ANT-MW-23-2,30.5,304.02,-0.37,3.51,N, , , , , , ,</t>
  </si>
  <si>
    <t>*+++++++++++++++++++++++++++++++++++++++++++++++++++++++ Freq Loss: Tx=86.96</t>
  </si>
  <si>
    <t>CK,N,U,WQAK38901,WQAK38903,22A,AOYO,2019.01.28,18:03</t>
  </si>
  <si>
    <t>CT, , , ,22275000.00,V,2,0.1, , ,DFLT50, ,8.0,0.0,D7550, ,5,X</t>
  </si>
  <si>
    <t>CR, , , , , , , , , , ,</t>
  </si>
  <si>
    <t>CQ, , , , , , , ,</t>
  </si>
  <si>
    <t>CO, , , , , , ,U18B,</t>
  </si>
  <si>
    <t>*+++++++++++++++++++++++++++++++++++++++++++++++++++++++ Freq Loss: Tx=86.82</t>
  </si>
  <si>
    <t>CK,U,U,WQAK38901,WQAK38903,22A,APKG,2019.01.28,18:03</t>
  </si>
  <si>
    <t>CT, , , ,21925000.00,V,2,0.1, , ,DFLT50, ,14.5,0.0,D7550, ,5,X</t>
  </si>
  <si>
    <t>SK,N,U,WQAK38903,WSI-MSO-HQ,46-53-13.10N,114-02-00.30W,969.3,2019.01.28,18:04</t>
  </si>
  <si>
    <t>*====  MISSOULA MIL  ==== Ant Gain = 40.2, Dist Loss = 43.36, At. Loss = 0.69</t>
  </si>
  <si>
    <t>AQ,RX,HP2-23,13.7,123.99,0.25,3.51,N, , , , , , ,</t>
  </si>
  <si>
    <t>*----  MISSOULA MIL  ==== Ant Gain = 40.5, Dist Loss = 43.36, At. Loss = 0.69</t>
  </si>
  <si>
    <t>*+++++++++++++++++++++++++++++++++++++++++++++++++++++++ Freq Loss: Rx=86.96</t>
  </si>
  <si>
    <t>CK,N,U,WQAK38903,WQAK38901,22A,AOYO,2019.01.28,18:03</t>
  </si>
  <si>
    <t>CT, , , , , , , , , , , , , , , , ,</t>
  </si>
  <si>
    <t>CR,22275000.00,V,1, , ,DFLT50, ,D7550, ,5,X</t>
  </si>
  <si>
    <t>CQ,0.1,-42.8, , , , , ,</t>
  </si>
  <si>
    <t>*+++++++++++++++++++++++++++++++++++++++++++++++++++++++ Freq Loss: Rx=86.82</t>
  </si>
  <si>
    <t>CR,21925000.00,V,2, , ,DFLT50, ,D7550, ,5,X</t>
  </si>
  <si>
    <t>Anumb6</t>
  </si>
  <si>
    <t>ant #6 has cmd D</t>
  </si>
  <si>
    <t>Anumb1</t>
  </si>
  <si>
    <t>anumb6</t>
  </si>
  <si>
    <t>ant #6 has cmd of D</t>
  </si>
  <si>
    <t>* TS-PDF: testelev, By FtPrint (190701-1415/64-R) at 2019.07.05 17:17:08</t>
  </si>
  <si>
    <t>TT,U,TESTELEV2,,,,</t>
  </si>
  <si>
    <t>AK,U,U,WQAK38901,WQAK38903,22A,2,2019.01.28,18:04</t>
  </si>
  <si>
    <t>AK,U,U,WQAK38903,WQAK38901,22A,1,2019.01.28,18:04</t>
  </si>
  <si>
    <t>AK,U,U,WQAK38903,WQAK38901,22A,2,2019.01.28,18:04</t>
  </si>
  <si>
    <t>AQ,RX,ANT-MW-23-2,12.2,123.99,0.27,3.51,N, , , , , , ,</t>
  </si>
  <si>
    <t>CK,U,U,WQAK38903,WQAK38901,22A,APKG,2019.01.28,18:03</t>
  </si>
  <si>
    <t>CQ,0.0,-35.7, , , , , ,</t>
  </si>
  <si>
    <t>Unused or non-valid combination</t>
  </si>
  <si>
    <t>Correct elevation angle</t>
  </si>
  <si>
    <t>Incorrect value selected by Validate</t>
  </si>
  <si>
    <t>Spreadsheet was developed by Al Moreno in 2009, modified by Claudia for this example</t>
  </si>
  <si>
    <t>* TS-PDF: testelev, By FtPrint (190701-1415/64-R) at 2019.07.05 17:11:43</t>
  </si>
  <si>
    <t>AQ,RX,ANT-MW-23-2,12.2,123.99,0.35,3.51,N, , , , , , ,</t>
  </si>
</sst>
</file>

<file path=xl/styles.xml><?xml version="1.0" encoding="utf-8"?>
<styleSheet xmlns="http://schemas.openxmlformats.org/spreadsheetml/2006/main">
  <fonts count="4">
    <font>
      <sz val="10"/>
      <name val="Arial"/>
    </font>
    <font>
      <b/>
      <sz val="10"/>
      <name val="Arial"/>
      <family val="2"/>
    </font>
    <font>
      <sz val="10"/>
      <color theme="0" tint="-0.249977111117893"/>
      <name val="Arial"/>
      <family val="2"/>
    </font>
    <font>
      <b/>
      <sz val="10"/>
      <color theme="0" tint="-0.249977111117893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1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0" fillId="2" borderId="0" xfId="0" applyFill="1"/>
    <xf numFmtId="0" fontId="0" fillId="0" borderId="0" xfId="0" applyFill="1"/>
    <xf numFmtId="0" fontId="0" fillId="3" borderId="0" xfId="0" applyFill="1"/>
    <xf numFmtId="0" fontId="2" fillId="0" borderId="0" xfId="0" applyFont="1"/>
    <xf numFmtId="0" fontId="3" fillId="0" borderId="0" xfId="0" applyFont="1"/>
    <xf numFmtId="0" fontId="2" fillId="0" borderId="0" xfId="0" applyFont="1" applyFill="1"/>
    <xf numFmtId="0" fontId="2" fillId="3" borderId="0" xfId="0" applyFont="1" applyFill="1"/>
    <xf numFmtId="0" fontId="2" fillId="4" borderId="0" xfId="0" applyFont="1" applyFill="1"/>
    <xf numFmtId="0" fontId="1" fillId="5" borderId="0" xfId="0" applyFont="1" applyFill="1"/>
    <xf numFmtId="0" fontId="0" fillId="6" borderId="0" xfId="0" applyFill="1"/>
    <xf numFmtId="0" fontId="0" fillId="7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53"/>
  <sheetViews>
    <sheetView tabSelected="1" workbookViewId="0">
      <selection activeCell="A6" sqref="A6:M6"/>
    </sheetView>
  </sheetViews>
  <sheetFormatPr defaultRowHeight="13.2"/>
  <cols>
    <col min="5" max="5" width="14.44140625" customWidth="1"/>
    <col min="6" max="6" width="12.6640625" customWidth="1"/>
    <col min="7" max="7" width="9.77734375" customWidth="1"/>
    <col min="8" max="8" width="12.44140625" customWidth="1"/>
    <col min="11" max="11" width="12.44140625" bestFit="1" customWidth="1"/>
  </cols>
  <sheetData>
    <row r="1" spans="1:15">
      <c r="A1" t="s">
        <v>64</v>
      </c>
    </row>
    <row r="2" spans="1:15">
      <c r="A2" s="1" t="s">
        <v>0</v>
      </c>
    </row>
    <row r="4" spans="1:15">
      <c r="B4" s="1" t="s">
        <v>2</v>
      </c>
      <c r="C4" s="1" t="s">
        <v>1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12</v>
      </c>
      <c r="I4" s="1" t="s">
        <v>7</v>
      </c>
      <c r="J4" s="1" t="s">
        <v>8</v>
      </c>
      <c r="K4" s="1" t="s">
        <v>9</v>
      </c>
      <c r="L4" s="1" t="s">
        <v>10</v>
      </c>
      <c r="M4" s="1" t="s">
        <v>11</v>
      </c>
      <c r="O4" t="s">
        <v>53</v>
      </c>
    </row>
    <row r="5" spans="1:15">
      <c r="O5" t="s">
        <v>18</v>
      </c>
    </row>
    <row r="6" spans="1:15">
      <c r="A6" s="10"/>
      <c r="B6" t="s">
        <v>61</v>
      </c>
      <c r="F6" s="11"/>
      <c r="G6" t="s">
        <v>62</v>
      </c>
      <c r="J6" s="12"/>
      <c r="K6" t="s">
        <v>63</v>
      </c>
      <c r="O6" t="s">
        <v>54</v>
      </c>
    </row>
    <row r="7" spans="1:15">
      <c r="E7" s="1" t="s">
        <v>13</v>
      </c>
      <c r="F7" s="1" t="s">
        <v>14</v>
      </c>
      <c r="G7" s="1" t="s">
        <v>16</v>
      </c>
      <c r="H7" s="1" t="s">
        <v>17</v>
      </c>
      <c r="O7" t="s">
        <v>19</v>
      </c>
    </row>
    <row r="8" spans="1:15">
      <c r="O8" t="s">
        <v>20</v>
      </c>
    </row>
    <row r="9" spans="1:15">
      <c r="B9">
        <v>3.51</v>
      </c>
      <c r="C9">
        <f>(B9/6373)</f>
        <v>5.5076102306605989E-4</v>
      </c>
      <c r="D9">
        <f>(C9/(8/3))</f>
        <v>2.0653538364977247E-4</v>
      </c>
      <c r="E9">
        <v>0.97289999999999999</v>
      </c>
      <c r="F9">
        <v>0.96930000000000005</v>
      </c>
      <c r="G9">
        <v>2.5899999999999999E-2</v>
      </c>
      <c r="H9">
        <v>1.37E-2</v>
      </c>
      <c r="I9">
        <f>(E9+G9)</f>
        <v>0.99880000000000002</v>
      </c>
      <c r="J9">
        <f>(F9+H9)</f>
        <v>0.9830000000000001</v>
      </c>
      <c r="K9">
        <f>(ATAN((((J9-I9)/((8*6373/3)+I9+J9)))*(1/TAN(D9))))</f>
        <v>-4.5008691809184488E-3</v>
      </c>
      <c r="L9" s="2">
        <f>((K9-D9)*(180/3.141592654))</f>
        <v>-0.26971441397516072</v>
      </c>
      <c r="M9">
        <f>(-K9-D9)*(180/3.141592654)</f>
        <v>0.24604720237175656</v>
      </c>
      <c r="O9" t="s">
        <v>21</v>
      </c>
    </row>
    <row r="10" spans="1:15">
      <c r="O10" t="s">
        <v>22</v>
      </c>
    </row>
    <row r="11" spans="1:15">
      <c r="E11" s="1" t="s">
        <v>13</v>
      </c>
      <c r="F11" s="1" t="s">
        <v>14</v>
      </c>
      <c r="G11" s="1" t="s">
        <v>16</v>
      </c>
      <c r="H11" s="1" t="s">
        <v>16</v>
      </c>
      <c r="O11" t="s">
        <v>55</v>
      </c>
    </row>
    <row r="12" spans="1:15">
      <c r="O12" t="s">
        <v>23</v>
      </c>
    </row>
    <row r="13" spans="1:15">
      <c r="B13">
        <v>3.51</v>
      </c>
      <c r="C13">
        <f>(B13/6373)</f>
        <v>5.5076102306605989E-4</v>
      </c>
      <c r="D13">
        <f>(C13/(8/3))</f>
        <v>2.0653538364977247E-4</v>
      </c>
      <c r="E13">
        <v>0.97289999999999999</v>
      </c>
      <c r="F13">
        <v>0.96930000000000005</v>
      </c>
      <c r="G13">
        <v>2.5899999999999999E-2</v>
      </c>
      <c r="H13">
        <v>1.2200000000000001E-2</v>
      </c>
      <c r="I13">
        <f>(E13+G13)</f>
        <v>0.99880000000000002</v>
      </c>
      <c r="J13">
        <f>(F13+H13)</f>
        <v>0.98150000000000004</v>
      </c>
      <c r="K13">
        <f>(ATAN((((J13-I13)/((8*6373/3)+I13+J13)))*(1/TAN(D13))))</f>
        <v>-4.9281607043897609E-3</v>
      </c>
      <c r="L13" s="4">
        <f>((K13-D13)*(180/3.141592654))</f>
        <v>-0.29419641488858539</v>
      </c>
      <c r="M13">
        <f>(-K13-D13)*(180/3.141592654)</f>
        <v>0.27052920328518121</v>
      </c>
      <c r="O13" t="s">
        <v>24</v>
      </c>
    </row>
    <row r="14" spans="1:15">
      <c r="L14" s="3"/>
      <c r="O14" t="s">
        <v>25</v>
      </c>
    </row>
    <row r="15" spans="1:15">
      <c r="A15" s="5"/>
      <c r="B15" s="5"/>
      <c r="C15" s="5"/>
      <c r="D15" s="5"/>
      <c r="E15" s="6" t="s">
        <v>13</v>
      </c>
      <c r="F15" s="6" t="s">
        <v>14</v>
      </c>
      <c r="G15" s="6" t="s">
        <v>48</v>
      </c>
      <c r="H15" s="6" t="s">
        <v>17</v>
      </c>
      <c r="I15" s="6" t="s">
        <v>49</v>
      </c>
      <c r="J15" s="5"/>
      <c r="K15" s="5"/>
      <c r="L15" s="7"/>
      <c r="M15" s="5"/>
      <c r="O15" t="s">
        <v>26</v>
      </c>
    </row>
    <row r="16" spans="1:15">
      <c r="A16" s="5"/>
      <c r="B16" s="5"/>
      <c r="C16" s="5"/>
      <c r="D16" s="5"/>
      <c r="E16" s="6"/>
      <c r="F16" s="6"/>
      <c r="G16" s="6"/>
      <c r="H16" s="6"/>
      <c r="I16" s="6"/>
      <c r="J16" s="5"/>
      <c r="K16" s="5"/>
      <c r="L16" s="7"/>
      <c r="M16" s="5"/>
      <c r="O16" t="s">
        <v>27</v>
      </c>
    </row>
    <row r="17" spans="1:15">
      <c r="A17" s="5"/>
      <c r="B17" s="5">
        <v>3.51</v>
      </c>
      <c r="C17" s="5">
        <f>(B17/6373)</f>
        <v>5.5076102306605989E-4</v>
      </c>
      <c r="D17" s="5">
        <f>(C17/(8/3))</f>
        <v>2.0653538364977247E-4</v>
      </c>
      <c r="E17" s="5">
        <v>0.97289999999999999</v>
      </c>
      <c r="F17" s="5">
        <v>0.96930000000000005</v>
      </c>
      <c r="G17" s="5">
        <v>3.0499999999999999E-2</v>
      </c>
      <c r="H17" s="5">
        <v>1.37E-2</v>
      </c>
      <c r="I17" s="5">
        <f>(E17+G17)</f>
        <v>1.0034000000000001</v>
      </c>
      <c r="J17" s="5">
        <f>(F17+H17)</f>
        <v>0.9830000000000001</v>
      </c>
      <c r="K17" s="5">
        <f>(ATAN((((J17-I17)/((8*6373/3)+I17+J17)))*(1/TAN(D17))))</f>
        <v>-5.811221068071133E-3</v>
      </c>
      <c r="L17" s="7">
        <f>((K17-D17)*(180/3.141592654))</f>
        <v>-0.34479204677620912</v>
      </c>
      <c r="M17" s="5">
        <f>(-K17-D17)*(180/3.141592654)</f>
        <v>0.32112483517280499</v>
      </c>
      <c r="O17" t="s">
        <v>24</v>
      </c>
    </row>
    <row r="18" spans="1:15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7"/>
      <c r="M18" s="5"/>
      <c r="O18" t="s">
        <v>28</v>
      </c>
    </row>
    <row r="19" spans="1:15">
      <c r="A19" s="5"/>
      <c r="B19" s="5"/>
      <c r="C19" s="5"/>
      <c r="D19" s="5"/>
      <c r="E19" s="6" t="s">
        <v>13</v>
      </c>
      <c r="F19" s="6" t="s">
        <v>14</v>
      </c>
      <c r="G19" s="6" t="s">
        <v>48</v>
      </c>
      <c r="H19" s="6" t="s">
        <v>16</v>
      </c>
      <c r="I19" s="6" t="s">
        <v>49</v>
      </c>
      <c r="J19" s="5"/>
      <c r="K19" s="5"/>
      <c r="L19" s="7"/>
      <c r="M19" s="5"/>
      <c r="O19" t="s">
        <v>29</v>
      </c>
    </row>
    <row r="20" spans="1:15">
      <c r="A20" s="5"/>
      <c r="B20" s="5"/>
      <c r="C20" s="5"/>
      <c r="D20" s="5"/>
      <c r="E20" s="6"/>
      <c r="F20" s="6"/>
      <c r="G20" s="6"/>
      <c r="H20" s="6"/>
      <c r="I20" s="6"/>
      <c r="J20" s="5"/>
      <c r="K20" s="5"/>
      <c r="L20" s="7"/>
      <c r="M20" s="5"/>
      <c r="O20" t="s">
        <v>30</v>
      </c>
    </row>
    <row r="21" spans="1:15">
      <c r="A21" s="5"/>
      <c r="B21" s="5">
        <v>3.51</v>
      </c>
      <c r="C21" s="5">
        <f>(B21/6373)</f>
        <v>5.5076102306605989E-4</v>
      </c>
      <c r="D21" s="5">
        <f>(C21/(8/3))</f>
        <v>2.0653538364977247E-4</v>
      </c>
      <c r="E21" s="5">
        <v>0.97289999999999999</v>
      </c>
      <c r="F21" s="5">
        <v>0.96930000000000005</v>
      </c>
      <c r="G21" s="5">
        <v>3.0499999999999999E-2</v>
      </c>
      <c r="H21" s="5">
        <v>1.2200000000000001E-2</v>
      </c>
      <c r="I21" s="5">
        <f>(E21+G21)</f>
        <v>1.0034000000000001</v>
      </c>
      <c r="J21" s="5">
        <f>(F21+H21)</f>
        <v>0.98150000000000004</v>
      </c>
      <c r="K21" s="5">
        <f>(ATAN((((J21-I21)/((8*6373/3)+I21+J21)))*(1/TAN(D21))))</f>
        <v>-6.23850657853717E-3</v>
      </c>
      <c r="L21" s="7">
        <f>((K21-D21)*(180/3.141592654))</f>
        <v>-0.3692737031698094</v>
      </c>
      <c r="M21" s="5">
        <f>(-K21-D21)*(180/3.141592654)</f>
        <v>0.34560649156640522</v>
      </c>
      <c r="O21" t="s">
        <v>31</v>
      </c>
    </row>
    <row r="22" spans="1:15">
      <c r="O22" t="s">
        <v>32</v>
      </c>
    </row>
    <row r="23" spans="1:15">
      <c r="E23" s="1" t="s">
        <v>14</v>
      </c>
      <c r="F23" s="1" t="s">
        <v>13</v>
      </c>
      <c r="G23" s="1" t="s">
        <v>17</v>
      </c>
      <c r="H23" s="1" t="s">
        <v>16</v>
      </c>
      <c r="O23" t="s">
        <v>33</v>
      </c>
    </row>
    <row r="24" spans="1:15">
      <c r="O24" t="s">
        <v>34</v>
      </c>
    </row>
    <row r="25" spans="1:15">
      <c r="B25">
        <v>3.51</v>
      </c>
      <c r="C25">
        <f>(B25/6373)</f>
        <v>5.5076102306605989E-4</v>
      </c>
      <c r="D25">
        <f>(C25/(8/3))</f>
        <v>2.0653538364977247E-4</v>
      </c>
      <c r="E25">
        <v>0.96930000000000005</v>
      </c>
      <c r="F25">
        <v>0.97289999999999999</v>
      </c>
      <c r="G25">
        <v>1.37E-2</v>
      </c>
      <c r="H25">
        <v>2.5899999999999999E-2</v>
      </c>
      <c r="I25">
        <f>(E25+G25)</f>
        <v>0.9830000000000001</v>
      </c>
      <c r="J25">
        <f>(F25+H25)</f>
        <v>0.99880000000000002</v>
      </c>
      <c r="K25">
        <f>(ATAN((((J25-I25)/((8*6373/3)+I25+J25)))*(1/TAN(D25))))</f>
        <v>4.5008691809184488E-3</v>
      </c>
      <c r="L25" s="2">
        <f>((K25-D25)*(180/3.141592654))</f>
        <v>0.24604720237175656</v>
      </c>
      <c r="M25">
        <f>(-K25-D25)*(180/3.141592654)</f>
        <v>-0.26971441397516072</v>
      </c>
      <c r="O25" t="s">
        <v>35</v>
      </c>
    </row>
    <row r="26" spans="1:15">
      <c r="O26" t="s">
        <v>36</v>
      </c>
    </row>
    <row r="27" spans="1:15">
      <c r="A27" s="5"/>
      <c r="B27" s="5"/>
      <c r="C27" s="5"/>
      <c r="D27" s="5"/>
      <c r="E27" s="5"/>
      <c r="F27" s="5"/>
      <c r="G27" s="6" t="s">
        <v>50</v>
      </c>
      <c r="H27" s="6" t="s">
        <v>51</v>
      </c>
      <c r="I27" s="5" t="s">
        <v>52</v>
      </c>
      <c r="J27" s="5"/>
      <c r="K27" s="5"/>
      <c r="L27" s="5"/>
      <c r="M27" s="5"/>
      <c r="O27" t="s">
        <v>31</v>
      </c>
    </row>
    <row r="28" spans="1:15">
      <c r="A28" s="5"/>
      <c r="B28" s="5"/>
      <c r="C28" s="5"/>
      <c r="D28" s="5"/>
      <c r="E28" s="5"/>
      <c r="F28" s="5"/>
      <c r="G28" s="6"/>
      <c r="H28" s="6"/>
      <c r="I28" s="5"/>
      <c r="J28" s="5"/>
      <c r="K28" s="5"/>
      <c r="L28" s="5"/>
      <c r="M28" s="5"/>
      <c r="O28" t="s">
        <v>32</v>
      </c>
    </row>
    <row r="29" spans="1:15">
      <c r="A29" s="5"/>
      <c r="B29" s="5">
        <v>3.51</v>
      </c>
      <c r="C29" s="5">
        <f>(B29/6373)</f>
        <v>5.5076102306605989E-4</v>
      </c>
      <c r="D29" s="5">
        <f>(C29/(8/3))</f>
        <v>2.0653538364977247E-4</v>
      </c>
      <c r="E29" s="5">
        <v>0.96930000000000005</v>
      </c>
      <c r="F29" s="5">
        <v>0.97289999999999999</v>
      </c>
      <c r="G29" s="5">
        <v>1.37E-2</v>
      </c>
      <c r="H29" s="5">
        <v>3.0499999999999999E-2</v>
      </c>
      <c r="I29" s="5">
        <f>(E29+G29)</f>
        <v>0.9830000000000001</v>
      </c>
      <c r="J29" s="5">
        <f>(F29+H29)</f>
        <v>1.0034000000000001</v>
      </c>
      <c r="K29" s="5">
        <f>(ATAN((((J29-I29)/((8*6373/3)+I29+J29)))*(1/TAN(D29))))</f>
        <v>5.811221068071133E-3</v>
      </c>
      <c r="L29" s="8">
        <f>((K29-D29)*(180/3.141592654))</f>
        <v>0.32112483517280499</v>
      </c>
      <c r="M29" s="5">
        <f>(-K29-D29)*(180/3.141592654)</f>
        <v>-0.34479204677620912</v>
      </c>
      <c r="O29" t="s">
        <v>33</v>
      </c>
    </row>
    <row r="30" spans="1:15">
      <c r="O30" t="s">
        <v>19</v>
      </c>
    </row>
    <row r="31" spans="1:15">
      <c r="E31" s="1"/>
      <c r="F31" s="1"/>
      <c r="G31" s="1"/>
      <c r="H31" s="1"/>
      <c r="O31" t="s">
        <v>37</v>
      </c>
    </row>
    <row r="32" spans="1:15">
      <c r="E32" s="1" t="s">
        <v>14</v>
      </c>
      <c r="F32" s="1" t="s">
        <v>13</v>
      </c>
      <c r="G32" s="1" t="s">
        <v>16</v>
      </c>
      <c r="H32" s="1" t="s">
        <v>16</v>
      </c>
      <c r="O32" t="s">
        <v>21</v>
      </c>
    </row>
    <row r="33" spans="1:15">
      <c r="O33" t="s">
        <v>38</v>
      </c>
    </row>
    <row r="34" spans="1:15">
      <c r="B34">
        <v>3.51</v>
      </c>
      <c r="C34">
        <f>(B34/6373)</f>
        <v>5.5076102306605989E-4</v>
      </c>
      <c r="D34">
        <f>(C34/(8/3))</f>
        <v>2.0653538364977247E-4</v>
      </c>
      <c r="E34">
        <v>0.96930000000000005</v>
      </c>
      <c r="F34">
        <v>0.97289999999999999</v>
      </c>
      <c r="G34">
        <v>1.2200000000000001E-2</v>
      </c>
      <c r="H34">
        <v>2.5899999999999999E-2</v>
      </c>
      <c r="I34">
        <f>(E34+G34)</f>
        <v>0.98150000000000004</v>
      </c>
      <c r="J34">
        <f>(F34+H34)</f>
        <v>0.99880000000000002</v>
      </c>
      <c r="K34">
        <f>(ATAN((((J34-I34)/((8*6373/3)+I34+J34)))*(1/TAN(D34))))</f>
        <v>4.9281607043897609E-3</v>
      </c>
      <c r="L34" s="2">
        <f>((K34-D34)*(180/3.141592654))</f>
        <v>0.27052920328518121</v>
      </c>
      <c r="M34">
        <f>(-K34-D34)*(180/3.141592654)</f>
        <v>-0.29419641488858539</v>
      </c>
      <c r="O34" t="s">
        <v>56</v>
      </c>
    </row>
    <row r="35" spans="1:15">
      <c r="E35" s="1"/>
      <c r="F35" s="1"/>
      <c r="G35" s="1"/>
      <c r="H35" s="1"/>
      <c r="O35" t="s">
        <v>39</v>
      </c>
    </row>
    <row r="36" spans="1:15">
      <c r="A36" s="5"/>
      <c r="B36" s="5"/>
      <c r="C36" s="5"/>
      <c r="D36" s="5"/>
      <c r="E36" s="6" t="s">
        <v>14</v>
      </c>
      <c r="F36" s="6" t="s">
        <v>13</v>
      </c>
      <c r="G36" s="6" t="s">
        <v>16</v>
      </c>
      <c r="H36" s="6" t="s">
        <v>15</v>
      </c>
      <c r="I36" s="6" t="s">
        <v>52</v>
      </c>
      <c r="J36" s="5"/>
      <c r="K36" s="5"/>
      <c r="L36" s="5"/>
      <c r="M36" s="5"/>
      <c r="O36" t="s">
        <v>24</v>
      </c>
    </row>
    <row r="37" spans="1:15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O37" t="s">
        <v>40</v>
      </c>
    </row>
    <row r="38" spans="1:15">
      <c r="A38" s="5"/>
      <c r="B38" s="5">
        <v>3.51</v>
      </c>
      <c r="C38" s="5">
        <f>(B38/6373)</f>
        <v>5.5076102306605989E-4</v>
      </c>
      <c r="D38" s="5">
        <f>(C38/(8/3))</f>
        <v>2.0653538364977247E-4</v>
      </c>
      <c r="E38" s="5">
        <v>0.96930000000000005</v>
      </c>
      <c r="F38" s="5">
        <v>0.97289999999999999</v>
      </c>
      <c r="G38" s="5">
        <v>1.2200000000000001E-2</v>
      </c>
      <c r="H38" s="5">
        <v>3.0499999999999999E-2</v>
      </c>
      <c r="I38" s="5">
        <f>(E38+G38)</f>
        <v>0.98150000000000004</v>
      </c>
      <c r="J38" s="5">
        <f>(F38+H38)</f>
        <v>1.0034000000000001</v>
      </c>
      <c r="K38" s="5">
        <f>(ATAN((((J38-I38)/((8*6373/3)+I38+J38)))*(1/TAN(D38))))</f>
        <v>6.23850657853717E-3</v>
      </c>
      <c r="L38" s="8">
        <f>((K38-D38)*(180/3.141592654))</f>
        <v>0.34560649156640522</v>
      </c>
      <c r="M38" s="5">
        <f>(-K38-D38)*(180/3.141592654)</f>
        <v>-0.3692737031698094</v>
      </c>
      <c r="O38" t="s">
        <v>57</v>
      </c>
    </row>
    <row r="39" spans="1:15">
      <c r="G39" s="1"/>
      <c r="H39" s="1"/>
      <c r="O39" t="s">
        <v>58</v>
      </c>
    </row>
    <row r="40" spans="1:15">
      <c r="O40" t="s">
        <v>24</v>
      </c>
    </row>
    <row r="41" spans="1:15">
      <c r="O41" t="s">
        <v>41</v>
      </c>
    </row>
    <row r="42" spans="1:15">
      <c r="O42" t="s">
        <v>42</v>
      </c>
    </row>
    <row r="43" spans="1:15">
      <c r="G43" s="1"/>
      <c r="H43" s="1"/>
      <c r="O43" t="s">
        <v>43</v>
      </c>
    </row>
    <row r="44" spans="1:15">
      <c r="O44" t="s">
        <v>44</v>
      </c>
    </row>
    <row r="45" spans="1:15">
      <c r="O45" t="s">
        <v>45</v>
      </c>
    </row>
    <row r="46" spans="1:15">
      <c r="O46" t="s">
        <v>33</v>
      </c>
    </row>
    <row r="47" spans="1:15">
      <c r="G47" s="1"/>
      <c r="H47" s="1"/>
      <c r="O47" t="s">
        <v>46</v>
      </c>
    </row>
    <row r="48" spans="1:15">
      <c r="O48" t="s">
        <v>59</v>
      </c>
    </row>
    <row r="49" spans="7:15">
      <c r="O49" t="s">
        <v>43</v>
      </c>
    </row>
    <row r="50" spans="7:15">
      <c r="O50" t="s">
        <v>47</v>
      </c>
    </row>
    <row r="51" spans="7:15">
      <c r="G51" s="1"/>
      <c r="H51" s="1"/>
      <c r="O51" t="s">
        <v>60</v>
      </c>
    </row>
    <row r="52" spans="7:15">
      <c r="O52" t="s">
        <v>33</v>
      </c>
    </row>
    <row r="53" spans="7:15">
      <c r="O53" t="s">
        <v>33</v>
      </c>
    </row>
  </sheetData>
  <phoneticPr fontId="0" type="noConversion"/>
  <printOptions gridLines="1"/>
  <pageMargins left="0.75" right="0.75" top="1" bottom="1" header="0.5" footer="0.5"/>
  <pageSetup scale="97" orientation="landscape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:O51"/>
  <sheetViews>
    <sheetView topLeftCell="A16" workbookViewId="0">
      <selection activeCell="R17" sqref="R17"/>
    </sheetView>
  </sheetViews>
  <sheetFormatPr defaultRowHeight="13.2"/>
  <cols>
    <col min="1" max="1" width="14.33203125" customWidth="1"/>
    <col min="2" max="2" width="12.44140625" customWidth="1"/>
    <col min="3" max="3" width="11.33203125" customWidth="1"/>
  </cols>
  <sheetData>
    <row r="1" spans="1:15">
      <c r="A1" s="1" t="s">
        <v>0</v>
      </c>
    </row>
    <row r="3" spans="1:15">
      <c r="B3" s="1" t="s">
        <v>2</v>
      </c>
      <c r="C3" s="1" t="s">
        <v>1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12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O3" t="s">
        <v>65</v>
      </c>
    </row>
    <row r="4" spans="1:15">
      <c r="O4" t="s">
        <v>18</v>
      </c>
    </row>
    <row r="5" spans="1:15">
      <c r="A5" s="10"/>
      <c r="B5" t="s">
        <v>61</v>
      </c>
      <c r="F5" s="11"/>
      <c r="G5" t="s">
        <v>62</v>
      </c>
      <c r="J5" s="12"/>
      <c r="K5" t="s">
        <v>63</v>
      </c>
      <c r="O5" t="s">
        <v>54</v>
      </c>
    </row>
    <row r="6" spans="1:15">
      <c r="E6" s="1" t="s">
        <v>13</v>
      </c>
      <c r="F6" s="1" t="s">
        <v>14</v>
      </c>
      <c r="G6" s="1" t="s">
        <v>16</v>
      </c>
      <c r="H6" s="1" t="s">
        <v>17</v>
      </c>
      <c r="O6" t="s">
        <v>19</v>
      </c>
    </row>
    <row r="7" spans="1:15">
      <c r="O7" t="s">
        <v>20</v>
      </c>
    </row>
    <row r="8" spans="1:15">
      <c r="B8">
        <v>3.51</v>
      </c>
      <c r="C8">
        <f>(B8/6373)</f>
        <v>5.5076102306605989E-4</v>
      </c>
      <c r="D8">
        <f>(C8/(8/3))</f>
        <v>2.0653538364977247E-4</v>
      </c>
      <c r="E8">
        <v>0.97289999999999999</v>
      </c>
      <c r="F8">
        <v>0.96930000000000005</v>
      </c>
      <c r="G8">
        <v>2.5899999999999999E-2</v>
      </c>
      <c r="H8">
        <v>1.37E-2</v>
      </c>
      <c r="I8">
        <f>(E8+G8)</f>
        <v>0.99880000000000002</v>
      </c>
      <c r="J8">
        <f>(F8+H8)</f>
        <v>0.9830000000000001</v>
      </c>
      <c r="K8">
        <f>(ATAN((((J8-I8)/((8*6373/3)+I8+J8)))*(1/TAN(D8))))</f>
        <v>-4.5008691809184488E-3</v>
      </c>
      <c r="L8" s="2">
        <f>((K8-D8)*(180/3.141592654))</f>
        <v>-0.26971441397516072</v>
      </c>
      <c r="M8">
        <f>(-K8-D8)*(180/3.141592654)</f>
        <v>0.24604720237175656</v>
      </c>
      <c r="O8" t="s">
        <v>21</v>
      </c>
    </row>
    <row r="9" spans="1:15">
      <c r="O9" t="s">
        <v>22</v>
      </c>
    </row>
    <row r="10" spans="1:15">
      <c r="E10" s="1" t="s">
        <v>13</v>
      </c>
      <c r="F10" s="1" t="s">
        <v>14</v>
      </c>
      <c r="G10" s="1" t="s">
        <v>16</v>
      </c>
      <c r="H10" s="1" t="s">
        <v>16</v>
      </c>
      <c r="O10" t="s">
        <v>55</v>
      </c>
    </row>
    <row r="11" spans="1:15">
      <c r="O11" t="s">
        <v>23</v>
      </c>
    </row>
    <row r="12" spans="1:15">
      <c r="B12">
        <v>3.51</v>
      </c>
      <c r="C12">
        <f>(B12/6373)</f>
        <v>5.5076102306605989E-4</v>
      </c>
      <c r="D12">
        <f>(C12/(8/3))</f>
        <v>2.0653538364977247E-4</v>
      </c>
      <c r="E12">
        <v>0.97289999999999999</v>
      </c>
      <c r="F12">
        <v>0.96930000000000005</v>
      </c>
      <c r="G12">
        <v>2.5899999999999999E-2</v>
      </c>
      <c r="H12">
        <v>1.2200000000000001E-2</v>
      </c>
      <c r="I12">
        <f>(E12+G12)</f>
        <v>0.99880000000000002</v>
      </c>
      <c r="J12">
        <f>(F12+H12)</f>
        <v>0.98150000000000004</v>
      </c>
      <c r="K12">
        <f>(ATAN((((J12-I12)/((8*6373/3)+I12+J12)))*(1/TAN(D12))))</f>
        <v>-4.9281607043897609E-3</v>
      </c>
      <c r="L12" s="4">
        <f>((K12-D12)*(180/3.141592654))</f>
        <v>-0.29419641488858539</v>
      </c>
      <c r="M12">
        <f>(-K12-D12)*(180/3.141592654)</f>
        <v>0.27052920328518121</v>
      </c>
      <c r="O12" t="s">
        <v>24</v>
      </c>
    </row>
    <row r="13" spans="1:15">
      <c r="L13" s="3"/>
      <c r="O13" t="s">
        <v>25</v>
      </c>
    </row>
    <row r="14" spans="1:15">
      <c r="A14" s="5"/>
      <c r="B14" s="5"/>
      <c r="C14" s="5"/>
      <c r="D14" s="5"/>
      <c r="E14" s="6" t="s">
        <v>13</v>
      </c>
      <c r="F14" s="6" t="s">
        <v>14</v>
      </c>
      <c r="G14" s="6" t="s">
        <v>48</v>
      </c>
      <c r="H14" s="6" t="s">
        <v>17</v>
      </c>
      <c r="I14" s="6" t="s">
        <v>49</v>
      </c>
      <c r="J14" s="5"/>
      <c r="K14" s="5"/>
      <c r="L14" s="7"/>
      <c r="M14" s="5"/>
      <c r="O14" t="s">
        <v>26</v>
      </c>
    </row>
    <row r="15" spans="1:15">
      <c r="A15" s="5"/>
      <c r="B15" s="5"/>
      <c r="C15" s="5"/>
      <c r="D15" s="5"/>
      <c r="E15" s="6"/>
      <c r="F15" s="6"/>
      <c r="G15" s="6"/>
      <c r="H15" s="6"/>
      <c r="I15" s="6"/>
      <c r="J15" s="5"/>
      <c r="K15" s="5"/>
      <c r="L15" s="7"/>
      <c r="M15" s="5"/>
      <c r="O15" t="s">
        <v>27</v>
      </c>
    </row>
    <row r="16" spans="1:15">
      <c r="A16" s="5"/>
      <c r="B16" s="5">
        <v>3.51</v>
      </c>
      <c r="C16" s="5">
        <f>(B16/6373)</f>
        <v>5.5076102306605989E-4</v>
      </c>
      <c r="D16" s="5">
        <f>(C16/(8/3))</f>
        <v>2.0653538364977247E-4</v>
      </c>
      <c r="E16" s="5">
        <v>0.97289999999999999</v>
      </c>
      <c r="F16" s="5">
        <v>0.96930000000000005</v>
      </c>
      <c r="G16" s="5">
        <v>3.0499999999999999E-2</v>
      </c>
      <c r="H16" s="5">
        <v>1.37E-2</v>
      </c>
      <c r="I16" s="5">
        <f>(E16+G16)</f>
        <v>1.0034000000000001</v>
      </c>
      <c r="J16" s="5">
        <f>(F16+H16)</f>
        <v>0.9830000000000001</v>
      </c>
      <c r="K16" s="5">
        <f>(ATAN((((J16-I16)/((8*6373/3)+I16+J16)))*(1/TAN(D16))))</f>
        <v>-5.811221068071133E-3</v>
      </c>
      <c r="L16" s="7">
        <f>((K16-D16)*(180/3.141592654))</f>
        <v>-0.34479204677620912</v>
      </c>
      <c r="M16" s="5">
        <f>(-K16-D16)*(180/3.141592654)</f>
        <v>0.32112483517280499</v>
      </c>
      <c r="O16" t="s">
        <v>24</v>
      </c>
    </row>
    <row r="17" spans="1:15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7"/>
      <c r="M17" s="5"/>
      <c r="O17" t="s">
        <v>28</v>
      </c>
    </row>
    <row r="18" spans="1:15">
      <c r="A18" s="5"/>
      <c r="B18" s="5"/>
      <c r="C18" s="5"/>
      <c r="D18" s="5"/>
      <c r="E18" s="6" t="s">
        <v>13</v>
      </c>
      <c r="F18" s="6" t="s">
        <v>14</v>
      </c>
      <c r="G18" s="6" t="s">
        <v>48</v>
      </c>
      <c r="H18" s="6" t="s">
        <v>16</v>
      </c>
      <c r="I18" s="6" t="s">
        <v>49</v>
      </c>
      <c r="J18" s="5"/>
      <c r="K18" s="5"/>
      <c r="L18" s="7"/>
      <c r="M18" s="5"/>
      <c r="O18" t="s">
        <v>29</v>
      </c>
    </row>
    <row r="19" spans="1:15">
      <c r="A19" s="5"/>
      <c r="B19" s="5"/>
      <c r="C19" s="5"/>
      <c r="D19" s="5"/>
      <c r="E19" s="6"/>
      <c r="F19" s="6"/>
      <c r="G19" s="6"/>
      <c r="H19" s="6"/>
      <c r="I19" s="6"/>
      <c r="J19" s="5"/>
      <c r="K19" s="5"/>
      <c r="L19" s="7"/>
      <c r="M19" s="5"/>
      <c r="O19" t="s">
        <v>30</v>
      </c>
    </row>
    <row r="20" spans="1:15">
      <c r="A20" s="5"/>
      <c r="B20" s="5">
        <v>3.51</v>
      </c>
      <c r="C20" s="5">
        <f>(B20/6373)</f>
        <v>5.5076102306605989E-4</v>
      </c>
      <c r="D20" s="5">
        <f>(C20/(8/3))</f>
        <v>2.0653538364977247E-4</v>
      </c>
      <c r="E20" s="5">
        <v>0.97289999999999999</v>
      </c>
      <c r="F20" s="5">
        <v>0.96930000000000005</v>
      </c>
      <c r="G20" s="5">
        <v>3.0499999999999999E-2</v>
      </c>
      <c r="H20" s="5">
        <v>1.2200000000000001E-2</v>
      </c>
      <c r="I20" s="5">
        <f>(E20+G20)</f>
        <v>1.0034000000000001</v>
      </c>
      <c r="J20" s="5">
        <f>(F20+H20)</f>
        <v>0.98150000000000004</v>
      </c>
      <c r="K20" s="5">
        <f>(ATAN((((J20-I20)/((8*6373/3)+I20+J20)))*(1/TAN(D20))))</f>
        <v>-6.23850657853717E-3</v>
      </c>
      <c r="L20" s="7">
        <f>((K20-D20)*(180/3.141592654))</f>
        <v>-0.3692737031698094</v>
      </c>
      <c r="M20" s="5">
        <f>(-K20-D20)*(180/3.141592654)</f>
        <v>0.34560649156640522</v>
      </c>
      <c r="O20" t="s">
        <v>31</v>
      </c>
    </row>
    <row r="21" spans="1:15">
      <c r="O21" t="s">
        <v>32</v>
      </c>
    </row>
    <row r="22" spans="1:15">
      <c r="E22" s="1" t="s">
        <v>14</v>
      </c>
      <c r="F22" s="1" t="s">
        <v>13</v>
      </c>
      <c r="G22" s="1" t="s">
        <v>17</v>
      </c>
      <c r="H22" s="1" t="s">
        <v>16</v>
      </c>
      <c r="O22" t="s">
        <v>33</v>
      </c>
    </row>
    <row r="23" spans="1:15">
      <c r="O23" t="s">
        <v>34</v>
      </c>
    </row>
    <row r="24" spans="1:15">
      <c r="B24">
        <v>3.51</v>
      </c>
      <c r="C24">
        <f>(B24/6373)</f>
        <v>5.5076102306605989E-4</v>
      </c>
      <c r="D24">
        <f>(C24/(8/3))</f>
        <v>2.0653538364977247E-4</v>
      </c>
      <c r="E24">
        <v>0.96930000000000005</v>
      </c>
      <c r="F24">
        <v>0.97289999999999999</v>
      </c>
      <c r="G24">
        <v>1.37E-2</v>
      </c>
      <c r="H24">
        <v>2.5899999999999999E-2</v>
      </c>
      <c r="I24">
        <f>(E24+G24)</f>
        <v>0.9830000000000001</v>
      </c>
      <c r="J24">
        <f>(F24+H24)</f>
        <v>0.99880000000000002</v>
      </c>
      <c r="K24">
        <f>(ATAN((((J24-I24)/((8*6373/3)+I24+J24)))*(1/TAN(D24))))</f>
        <v>4.5008691809184488E-3</v>
      </c>
      <c r="L24" s="2">
        <f>((K24-D24)*(180/3.141592654))</f>
        <v>0.24604720237175656</v>
      </c>
      <c r="M24">
        <f>(-K24-D24)*(180/3.141592654)</f>
        <v>-0.26971441397516072</v>
      </c>
      <c r="O24" t="s">
        <v>35</v>
      </c>
    </row>
    <row r="25" spans="1:15">
      <c r="O25" t="s">
        <v>36</v>
      </c>
    </row>
    <row r="26" spans="1:15">
      <c r="A26" s="5"/>
      <c r="B26" s="5"/>
      <c r="C26" s="5"/>
      <c r="D26" s="5"/>
      <c r="E26" s="5"/>
      <c r="F26" s="5"/>
      <c r="G26" s="6" t="s">
        <v>50</v>
      </c>
      <c r="H26" s="6" t="s">
        <v>51</v>
      </c>
      <c r="I26" s="5" t="s">
        <v>52</v>
      </c>
      <c r="J26" s="5"/>
      <c r="K26" s="5"/>
      <c r="L26" s="5"/>
      <c r="M26" s="5"/>
      <c r="O26" t="s">
        <v>31</v>
      </c>
    </row>
    <row r="27" spans="1:15">
      <c r="A27" s="5"/>
      <c r="B27" s="5"/>
      <c r="C27" s="5"/>
      <c r="D27" s="5"/>
      <c r="E27" s="5"/>
      <c r="F27" s="5"/>
      <c r="G27" s="6"/>
      <c r="H27" s="6"/>
      <c r="I27" s="5"/>
      <c r="J27" s="5"/>
      <c r="K27" s="5"/>
      <c r="L27" s="5"/>
      <c r="M27" s="5"/>
      <c r="O27" t="s">
        <v>32</v>
      </c>
    </row>
    <row r="28" spans="1:15">
      <c r="A28" s="5"/>
      <c r="B28" s="5">
        <v>3.51</v>
      </c>
      <c r="C28" s="5">
        <f>(B28/6373)</f>
        <v>5.5076102306605989E-4</v>
      </c>
      <c r="D28" s="5">
        <f>(C28/(8/3))</f>
        <v>2.0653538364977247E-4</v>
      </c>
      <c r="E28" s="5">
        <v>0.96930000000000005</v>
      </c>
      <c r="F28" s="5">
        <v>0.97289999999999999</v>
      </c>
      <c r="G28" s="5">
        <v>1.37E-2</v>
      </c>
      <c r="H28" s="5">
        <v>3.0499999999999999E-2</v>
      </c>
      <c r="I28" s="5">
        <f>(E28+G28)</f>
        <v>0.9830000000000001</v>
      </c>
      <c r="J28" s="5">
        <f>(F28+H28)</f>
        <v>1.0034000000000001</v>
      </c>
      <c r="K28" s="5">
        <f>(ATAN((((J28-I28)/((8*6373/3)+I28+J28)))*(1/TAN(D28))))</f>
        <v>5.811221068071133E-3</v>
      </c>
      <c r="L28" s="8">
        <f>((K28-D28)*(180/3.141592654))</f>
        <v>0.32112483517280499</v>
      </c>
      <c r="M28" s="5">
        <f>(-K28-D28)*(180/3.141592654)</f>
        <v>-0.34479204677620912</v>
      </c>
      <c r="O28" t="s">
        <v>33</v>
      </c>
    </row>
    <row r="29" spans="1:15">
      <c r="O29" t="s">
        <v>19</v>
      </c>
    </row>
    <row r="30" spans="1:15">
      <c r="E30" s="1"/>
      <c r="F30" s="1"/>
      <c r="G30" s="1"/>
      <c r="H30" s="1"/>
      <c r="O30" t="s">
        <v>37</v>
      </c>
    </row>
    <row r="31" spans="1:15">
      <c r="E31" s="1" t="s">
        <v>14</v>
      </c>
      <c r="F31" s="1" t="s">
        <v>13</v>
      </c>
      <c r="G31" s="1" t="s">
        <v>16</v>
      </c>
      <c r="H31" s="1" t="s">
        <v>16</v>
      </c>
      <c r="O31" t="s">
        <v>21</v>
      </c>
    </row>
    <row r="32" spans="1:15">
      <c r="O32" t="s">
        <v>38</v>
      </c>
    </row>
    <row r="33" spans="1:15">
      <c r="B33">
        <v>3.51</v>
      </c>
      <c r="C33">
        <f>(B33/6373)</f>
        <v>5.5076102306605989E-4</v>
      </c>
      <c r="D33">
        <f>(C33/(8/3))</f>
        <v>2.0653538364977247E-4</v>
      </c>
      <c r="E33">
        <v>0.96930000000000005</v>
      </c>
      <c r="F33">
        <v>0.97289999999999999</v>
      </c>
      <c r="G33">
        <v>1.2200000000000001E-2</v>
      </c>
      <c r="H33">
        <v>2.5899999999999999E-2</v>
      </c>
      <c r="I33">
        <f>(E33+G33)</f>
        <v>0.98150000000000004</v>
      </c>
      <c r="J33">
        <f>(F33+H33)</f>
        <v>0.99880000000000002</v>
      </c>
      <c r="K33">
        <f>(ATAN((((J33-I33)/((8*6373/3)+I33+J33)))*(1/TAN(D33))))</f>
        <v>4.9281607043897609E-3</v>
      </c>
      <c r="L33" s="2">
        <f>((K33-D33)*(180/3.141592654))</f>
        <v>0.27052920328518121</v>
      </c>
      <c r="M33">
        <f>(-K33-D33)*(180/3.141592654)</f>
        <v>-0.29419641488858539</v>
      </c>
      <c r="O33" t="s">
        <v>56</v>
      </c>
    </row>
    <row r="34" spans="1:15">
      <c r="E34" s="1"/>
      <c r="F34" s="1"/>
      <c r="G34" s="1"/>
      <c r="H34" s="1"/>
      <c r="O34" t="s">
        <v>39</v>
      </c>
    </row>
    <row r="35" spans="1:15">
      <c r="A35" s="5"/>
      <c r="B35" s="5"/>
      <c r="C35" s="5"/>
      <c r="D35" s="5"/>
      <c r="E35" s="6" t="s">
        <v>14</v>
      </c>
      <c r="F35" s="6" t="s">
        <v>13</v>
      </c>
      <c r="G35" s="6" t="s">
        <v>16</v>
      </c>
      <c r="H35" s="6" t="s">
        <v>15</v>
      </c>
      <c r="I35" s="6" t="s">
        <v>52</v>
      </c>
      <c r="J35" s="5"/>
      <c r="K35" s="5"/>
      <c r="L35" s="5"/>
      <c r="M35" s="5"/>
      <c r="O35" t="s">
        <v>24</v>
      </c>
    </row>
    <row r="36" spans="1:15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O36" t="s">
        <v>40</v>
      </c>
    </row>
    <row r="37" spans="1:15">
      <c r="A37" s="5"/>
      <c r="B37" s="5">
        <v>3.51</v>
      </c>
      <c r="C37" s="5">
        <f>(B37/6373)</f>
        <v>5.5076102306605989E-4</v>
      </c>
      <c r="D37" s="5">
        <f>(C37/(8/3))</f>
        <v>2.0653538364977247E-4</v>
      </c>
      <c r="E37" s="5">
        <v>0.96930000000000005</v>
      </c>
      <c r="F37" s="5">
        <v>0.97289999999999999</v>
      </c>
      <c r="G37" s="5">
        <v>1.2200000000000001E-2</v>
      </c>
      <c r="H37" s="5">
        <v>3.0499999999999999E-2</v>
      </c>
      <c r="I37" s="5">
        <f>(E37+G37)</f>
        <v>0.98150000000000004</v>
      </c>
      <c r="J37" s="5">
        <f>(F37+H37)</f>
        <v>1.0034000000000001</v>
      </c>
      <c r="K37" s="5">
        <f>(ATAN((((J37-I37)/((8*6373/3)+I37+J37)))*(1/TAN(D37))))</f>
        <v>6.23850657853717E-3</v>
      </c>
      <c r="L37" s="9">
        <f>((K37-D37)*(180/3.141592654))</f>
        <v>0.34560649156640522</v>
      </c>
      <c r="M37" s="5">
        <f>(-K37-D37)*(180/3.141592654)</f>
        <v>-0.3692737031698094</v>
      </c>
      <c r="O37" t="s">
        <v>57</v>
      </c>
    </row>
    <row r="38" spans="1:15">
      <c r="G38" s="1"/>
      <c r="H38" s="1"/>
      <c r="O38" t="s">
        <v>66</v>
      </c>
    </row>
    <row r="39" spans="1:15">
      <c r="O39" t="s">
        <v>24</v>
      </c>
    </row>
    <row r="40" spans="1:15">
      <c r="O40" t="s">
        <v>41</v>
      </c>
    </row>
    <row r="41" spans="1:15">
      <c r="O41" t="s">
        <v>42</v>
      </c>
    </row>
    <row r="42" spans="1:15">
      <c r="O42" t="s">
        <v>43</v>
      </c>
    </row>
    <row r="43" spans="1:15">
      <c r="O43" t="s">
        <v>44</v>
      </c>
    </row>
    <row r="44" spans="1:15">
      <c r="O44" t="s">
        <v>45</v>
      </c>
    </row>
    <row r="45" spans="1:15">
      <c r="O45" t="s">
        <v>33</v>
      </c>
    </row>
    <row r="46" spans="1:15">
      <c r="O46" t="s">
        <v>46</v>
      </c>
    </row>
    <row r="47" spans="1:15">
      <c r="O47" t="s">
        <v>59</v>
      </c>
    </row>
    <row r="48" spans="1:15">
      <c r="O48" t="s">
        <v>43</v>
      </c>
    </row>
    <row r="49" spans="15:15">
      <c r="O49" t="s">
        <v>47</v>
      </c>
    </row>
    <row r="50" spans="15:15">
      <c r="O50" t="s">
        <v>60</v>
      </c>
    </row>
    <row r="51" spans="15:15">
      <c r="O51" t="s">
        <v>33</v>
      </c>
    </row>
  </sheetData>
  <phoneticPr fontId="0" type="noConversion"/>
  <pageMargins left="0.75" right="0.75" top="1" bottom="1" header="0.5" footer="0.5"/>
  <pageSetup orientation="portrait" horizontalDpi="1200" verticalDpi="1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c++</vt:lpstr>
      <vt:lpstr>c#</vt:lpstr>
    </vt:vector>
  </TitlesOfParts>
  <Company>FCSA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 Moreno</dc:creator>
  <cp:lastModifiedBy>CCameron</cp:lastModifiedBy>
  <cp:lastPrinted>2006-02-21T19:44:48Z</cp:lastPrinted>
  <dcterms:created xsi:type="dcterms:W3CDTF">2004-03-04T19:40:59Z</dcterms:created>
  <dcterms:modified xsi:type="dcterms:W3CDTF">2019-08-01T15:30:06Z</dcterms:modified>
</cp:coreProperties>
</file>